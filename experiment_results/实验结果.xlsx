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930" windowHeight="1221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<sst xmlns="http://schemas.openxmlformats.org/spreadsheetml/2006/main" count="31" uniqueCount="19">
  <si>
    <t>2025_11_23</t>
  </si>
  <si>
    <t>Oxford 102 Flowers</t>
  </si>
  <si>
    <t>Resnet34(不加载预训练权重)</t>
  </si>
  <si>
    <t>Fold</t>
  </si>
  <si>
    <t>Best Epoch</t>
  </si>
  <si>
    <t>Accuracy</t>
  </si>
  <si>
    <t>Precision (micro)</t>
  </si>
  <si>
    <t>Recall (micro)</t>
  </si>
  <si>
    <t>Specificity</t>
  </si>
  <si>
    <t>F1-score (micro)</t>
  </si>
  <si>
    <t>Cohen's Kappa</t>
  </si>
  <si>
    <t>Balanced Acc</t>
  </si>
  <si>
    <t>AUROC</t>
  </si>
  <si>
    <t>训练集 + 验证集合并成一个，进行5折交叉验证，使用每一折最好的模型进行测试</t>
  </si>
  <si>
    <t>Mean</t>
  </si>
  <si>
    <t>-</t>
  </si>
  <si>
    <t>训练总时间：16.0h 44.0m 30.326989889144897s</t>
  </si>
  <si>
    <t>Std</t>
  </si>
  <si>
    <t>使用每一折最好的模型进行测试</t>
  </si>
</sst>
</file>

<file path=xl/styles.xml><?xml version="1.0" encoding="utf-8"?>
<styleSheet xmlns="http://schemas.openxmlformats.org/spreadsheetml/2006/main">
  <numFmts count="4">
    <numFmt numFmtId="44" formatCode="_-&quot;£&quot;* #,##0.00_-;\-&quot;£&quot;* #,##0.00_-;_-&quot;£&quot;* &quot;-&quot;??_-;_-@_-"/>
    <numFmt numFmtId="41" formatCode="_-* #,##0_-;\-* #,##0_-;_-* &quot;-&quot;_-;_-@_-"/>
    <numFmt numFmtId="43" formatCode="_-* #,##0.00_-;\-* #,##0.00_-;_-* &quot;-&quot;??_-;_-@_-"/>
    <numFmt numFmtId="42" formatCode="_-&quot;£&quot;* #,##0_-;\-&quot;£&quot;* #,##0_-;_-&quot;£&quot;* &quot;-&quot;_-;_-@_-"/>
  </numFmts>
  <fonts count="21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1"/>
      <color rgb="FF3F3F3F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9C0006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5"/>
      <color theme="3"/>
      <name val="等线"/>
      <charset val="134"/>
      <scheme val="minor"/>
    </font>
    <font>
      <sz val="11"/>
      <color rgb="FF9C6500"/>
      <name val="等线"/>
      <charset val="0"/>
      <scheme val="minor"/>
    </font>
    <font>
      <b/>
      <sz val="18"/>
      <color theme="3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sz val="11"/>
      <color rgb="FF3F3F76"/>
      <name val="等线"/>
      <charset val="0"/>
      <scheme val="minor"/>
    </font>
    <font>
      <i/>
      <sz val="11"/>
      <color rgb="FF7F7F7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006100"/>
      <name val="等线"/>
      <charset val="134"/>
      <scheme val="minor"/>
    </font>
    <font>
      <b/>
      <sz val="11"/>
      <color theme="1"/>
      <name val="等线"/>
      <charset val="0"/>
      <scheme val="minor"/>
    </font>
    <font>
      <b/>
      <sz val="13"/>
      <color theme="3"/>
      <name val="等线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5" fillId="25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8" borderId="7" applyNumberFormat="0" applyFont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4" fillId="7" borderId="1" applyNumberFormat="0" applyAlignment="0" applyProtection="0">
      <alignment vertical="center"/>
    </xf>
    <xf numFmtId="0" fontId="10" fillId="7" borderId="5" applyNumberFormat="0" applyAlignment="0" applyProtection="0">
      <alignment vertical="center"/>
    </xf>
    <xf numFmtId="0" fontId="8" fillId="12" borderId="2" applyNumberFormat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8" fillId="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 applyFill="1" applyAlignment="1">
      <alignment wrapText="1"/>
    </xf>
    <xf numFmtId="0" fontId="0" fillId="0" borderId="0" xfId="0" applyFont="1" applyFill="1" applyAlignment="1">
      <alignment horizontal="center" wrapText="1"/>
    </xf>
    <xf numFmtId="0" fontId="0" fillId="0" borderId="0" xfId="0" applyFont="1" applyFill="1" applyAlignment="1"/>
    <xf numFmtId="0" fontId="0" fillId="2" borderId="0" xfId="0" applyFill="1"/>
    <xf numFmtId="0" fontId="1" fillId="3" borderId="0" xfId="31" applyFont="1" applyFill="1" applyAlignment="1"/>
    <xf numFmtId="0" fontId="0" fillId="0" borderId="0" xfId="0" applyAlignment="1">
      <alignment horizont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C6EFC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22"/>
  <sheetViews>
    <sheetView tabSelected="1" workbookViewId="0">
      <selection activeCell="B3" sqref="B3:D3"/>
    </sheetView>
  </sheetViews>
  <sheetFormatPr defaultColWidth="9" defaultRowHeight="14"/>
  <cols>
    <col min="2" max="2" width="6.58333333333333" customWidth="1"/>
    <col min="3" max="3" width="26.25" customWidth="1"/>
    <col min="4" max="8" width="12.6666666666667"/>
    <col min="9" max="9" width="11.5833333333333"/>
    <col min="10" max="11" width="12.6666666666667"/>
    <col min="12" max="12" width="14.25" customWidth="1"/>
    <col min="13" max="15" width="12.6666666666667"/>
    <col min="16" max="16" width="11.5833333333333"/>
  </cols>
  <sheetData>
    <row r="2" spans="3:3">
      <c r="C2" t="s">
        <v>0</v>
      </c>
    </row>
    <row r="3" spans="2:4">
      <c r="B3" s="1" t="s">
        <v>1</v>
      </c>
      <c r="C3" s="1"/>
      <c r="D3" s="1"/>
    </row>
    <row r="5" spans="3:13">
      <c r="C5" s="2" t="s">
        <v>2</v>
      </c>
      <c r="D5" t="s">
        <v>3</v>
      </c>
      <c r="E5" t="s">
        <v>4</v>
      </c>
      <c r="F5" t="s">
        <v>5</v>
      </c>
      <c r="G5" t="s">
        <v>6</v>
      </c>
      <c r="H5" t="s">
        <v>7</v>
      </c>
      <c r="I5" t="s">
        <v>8</v>
      </c>
      <c r="J5" t="s">
        <v>9</v>
      </c>
      <c r="K5" t="s">
        <v>10</v>
      </c>
      <c r="L5" t="s">
        <v>11</v>
      </c>
      <c r="M5" t="s">
        <v>12</v>
      </c>
    </row>
    <row r="6" spans="3:13">
      <c r="C6" s="3" t="s">
        <v>13</v>
      </c>
      <c r="D6">
        <v>1</v>
      </c>
      <c r="E6">
        <v>429</v>
      </c>
      <c r="F6">
        <v>0.9059</v>
      </c>
      <c r="G6">
        <v>0.908</v>
      </c>
      <c r="H6">
        <v>0.8953</v>
      </c>
      <c r="I6">
        <v>0.9991</v>
      </c>
      <c r="J6">
        <v>0.8936</v>
      </c>
      <c r="K6">
        <v>0.9045</v>
      </c>
      <c r="L6">
        <v>0.9472</v>
      </c>
      <c r="M6">
        <v>0.9967</v>
      </c>
    </row>
    <row r="7" spans="3:13">
      <c r="C7" s="3"/>
      <c r="D7">
        <v>2</v>
      </c>
      <c r="E7">
        <v>504</v>
      </c>
      <c r="F7">
        <v>0.9073</v>
      </c>
      <c r="G7">
        <v>0.9099</v>
      </c>
      <c r="H7">
        <v>0.9036</v>
      </c>
      <c r="I7">
        <v>0.9991</v>
      </c>
      <c r="J7">
        <v>0.8988</v>
      </c>
      <c r="K7">
        <v>0.9059</v>
      </c>
      <c r="L7">
        <v>0.9513</v>
      </c>
      <c r="M7">
        <v>0.9959</v>
      </c>
    </row>
    <row r="8" spans="3:13">
      <c r="C8" s="3"/>
      <c r="D8">
        <v>3</v>
      </c>
      <c r="E8">
        <v>1311</v>
      </c>
      <c r="F8">
        <v>0.9142</v>
      </c>
      <c r="G8">
        <v>0.9176</v>
      </c>
      <c r="H8">
        <v>0.9016</v>
      </c>
      <c r="I8">
        <v>0.9991</v>
      </c>
      <c r="J8">
        <v>0.9003</v>
      </c>
      <c r="K8">
        <v>0.913</v>
      </c>
      <c r="L8">
        <v>0.9504</v>
      </c>
      <c r="M8">
        <v>0.9952</v>
      </c>
    </row>
    <row r="9" spans="3:13">
      <c r="C9" s="3"/>
      <c r="D9">
        <v>4</v>
      </c>
      <c r="E9">
        <v>700</v>
      </c>
      <c r="F9">
        <v>0.9142</v>
      </c>
      <c r="G9">
        <v>0.918</v>
      </c>
      <c r="H9">
        <v>0.9104</v>
      </c>
      <c r="I9">
        <v>0.9991</v>
      </c>
      <c r="J9">
        <v>0.9078</v>
      </c>
      <c r="K9">
        <v>0.913</v>
      </c>
      <c r="L9">
        <v>0.9548</v>
      </c>
      <c r="M9">
        <v>0.9965</v>
      </c>
    </row>
    <row r="10" spans="3:13">
      <c r="C10" s="3"/>
      <c r="D10">
        <v>5</v>
      </c>
      <c r="E10">
        <v>828</v>
      </c>
      <c r="F10">
        <v>0.9114</v>
      </c>
      <c r="G10">
        <v>0.8992</v>
      </c>
      <c r="H10">
        <v>0.8988</v>
      </c>
      <c r="I10">
        <v>0.9991</v>
      </c>
      <c r="J10">
        <v>0.8868</v>
      </c>
      <c r="K10">
        <v>0.9101</v>
      </c>
      <c r="L10">
        <v>0.9489</v>
      </c>
      <c r="M10">
        <v>0.994</v>
      </c>
    </row>
    <row r="11" spans="3:13">
      <c r="C11" s="4"/>
      <c r="D11" s="5" t="s">
        <v>14</v>
      </c>
      <c r="E11" t="s">
        <v>15</v>
      </c>
      <c r="F11" s="6">
        <f t="shared" ref="F11:M11" si="0">AVERAGE(F6:F10)</f>
        <v>0.9106</v>
      </c>
      <c r="G11" s="6">
        <f t="shared" si="0"/>
        <v>0.91054</v>
      </c>
      <c r="H11" s="6">
        <f t="shared" si="0"/>
        <v>0.90194</v>
      </c>
      <c r="I11" s="6">
        <f t="shared" si="0"/>
        <v>0.9991</v>
      </c>
      <c r="J11" s="6">
        <f t="shared" si="0"/>
        <v>0.89746</v>
      </c>
      <c r="K11" s="6">
        <f t="shared" si="0"/>
        <v>0.9093</v>
      </c>
      <c r="L11" s="6">
        <f t="shared" si="0"/>
        <v>0.95052</v>
      </c>
      <c r="M11" s="6">
        <f t="shared" si="0"/>
        <v>0.99566</v>
      </c>
    </row>
    <row r="12" spans="3:13">
      <c r="C12" s="7" t="s">
        <v>16</v>
      </c>
      <c r="D12" s="5" t="s">
        <v>17</v>
      </c>
      <c r="E12" t="s">
        <v>15</v>
      </c>
      <c r="F12" s="6">
        <f t="shared" ref="F12:M12" si="1">STDEVP(F6:F10)</f>
        <v>0.00345079700938783</v>
      </c>
      <c r="G12" s="6">
        <f t="shared" si="1"/>
        <v>0.00694193056721255</v>
      </c>
      <c r="H12" s="6">
        <f t="shared" si="1"/>
        <v>0.0050673859138613</v>
      </c>
      <c r="I12" s="6">
        <f t="shared" si="1"/>
        <v>0</v>
      </c>
      <c r="J12" s="6">
        <f t="shared" si="1"/>
        <v>0.00700445572475122</v>
      </c>
      <c r="K12" s="6">
        <f t="shared" si="1"/>
        <v>0.00353892639087056</v>
      </c>
      <c r="L12" s="6">
        <f t="shared" si="1"/>
        <v>0.00255295906743527</v>
      </c>
      <c r="M12" s="6">
        <f t="shared" si="1"/>
        <v>0.000981019877474478</v>
      </c>
    </row>
    <row r="13" spans="3:3">
      <c r="C13" s="7"/>
    </row>
    <row r="15" spans="5:13">
      <c r="E15" t="s">
        <v>3</v>
      </c>
      <c r="F15" t="s">
        <v>5</v>
      </c>
      <c r="G15" t="s">
        <v>6</v>
      </c>
      <c r="H15" t="s">
        <v>7</v>
      </c>
      <c r="I15" t="s">
        <v>8</v>
      </c>
      <c r="J15" t="s">
        <v>9</v>
      </c>
      <c r="K15" t="s">
        <v>10</v>
      </c>
      <c r="L15" t="s">
        <v>11</v>
      </c>
      <c r="M15" t="s">
        <v>12</v>
      </c>
    </row>
    <row r="16" spans="5:13">
      <c r="E16">
        <v>1</v>
      </c>
      <c r="F16">
        <v>0.8716</v>
      </c>
      <c r="G16">
        <v>0.8943</v>
      </c>
      <c r="H16">
        <v>0.8716</v>
      </c>
      <c r="I16">
        <v>0.9987</v>
      </c>
      <c r="J16">
        <v>0.8714</v>
      </c>
      <c r="K16">
        <v>0.8703</v>
      </c>
      <c r="L16">
        <v>0.9351</v>
      </c>
      <c r="M16">
        <v>0.9949</v>
      </c>
    </row>
    <row r="17" spans="5:13">
      <c r="E17">
        <v>2</v>
      </c>
      <c r="F17">
        <v>0.8765</v>
      </c>
      <c r="G17">
        <v>0.9012</v>
      </c>
      <c r="H17">
        <v>0.8765</v>
      </c>
      <c r="I17">
        <v>0.9988</v>
      </c>
      <c r="J17">
        <v>0.8751</v>
      </c>
      <c r="K17">
        <v>0.8752</v>
      </c>
      <c r="L17">
        <v>0.9376</v>
      </c>
      <c r="M17">
        <v>0.9959</v>
      </c>
    </row>
    <row r="18" spans="5:13">
      <c r="E18">
        <v>3</v>
      </c>
      <c r="F18">
        <v>0.9039</v>
      </c>
      <c r="G18">
        <v>0.9185</v>
      </c>
      <c r="H18">
        <v>0.9039</v>
      </c>
      <c r="I18">
        <v>0.999</v>
      </c>
      <c r="J18">
        <v>0.9026</v>
      </c>
      <c r="K18">
        <v>0.903</v>
      </c>
      <c r="L18">
        <v>0.9515</v>
      </c>
      <c r="M18">
        <v>0.9945</v>
      </c>
    </row>
    <row r="19" spans="3:13">
      <c r="C19" s="4" t="s">
        <v>18</v>
      </c>
      <c r="E19">
        <v>4</v>
      </c>
      <c r="F19">
        <v>0.8902</v>
      </c>
      <c r="G19">
        <v>0.904</v>
      </c>
      <c r="H19">
        <v>0.8902</v>
      </c>
      <c r="I19">
        <v>0.9989</v>
      </c>
      <c r="J19">
        <v>0.8883</v>
      </c>
      <c r="K19">
        <v>0.8891</v>
      </c>
      <c r="L19">
        <v>0.9446</v>
      </c>
      <c r="M19">
        <v>0.9952</v>
      </c>
    </row>
    <row r="20" spans="5:13">
      <c r="E20">
        <v>5</v>
      </c>
      <c r="F20">
        <v>0.8882</v>
      </c>
      <c r="G20">
        <v>0.9012</v>
      </c>
      <c r="H20">
        <v>0.8882</v>
      </c>
      <c r="I20">
        <v>0.9989</v>
      </c>
      <c r="J20">
        <v>0.8857</v>
      </c>
      <c r="K20">
        <v>0.8871</v>
      </c>
      <c r="L20">
        <v>0.9436</v>
      </c>
      <c r="M20">
        <v>0.9941</v>
      </c>
    </row>
    <row r="21" spans="5:13">
      <c r="E21" s="5" t="s">
        <v>14</v>
      </c>
      <c r="F21" s="6">
        <f t="shared" ref="F21:M21" si="2">AVERAGE(F16:F20)</f>
        <v>0.88608</v>
      </c>
      <c r="G21" s="6">
        <f t="shared" si="2"/>
        <v>0.90384</v>
      </c>
      <c r="H21" s="6">
        <f t="shared" si="2"/>
        <v>0.88608</v>
      </c>
      <c r="I21" s="6">
        <f t="shared" si="2"/>
        <v>0.99886</v>
      </c>
      <c r="J21" s="6">
        <f t="shared" si="2"/>
        <v>0.88462</v>
      </c>
      <c r="K21" s="6">
        <f t="shared" si="2"/>
        <v>0.88494</v>
      </c>
      <c r="L21" s="6">
        <f t="shared" si="2"/>
        <v>0.94248</v>
      </c>
      <c r="M21" s="6">
        <f t="shared" si="2"/>
        <v>0.99492</v>
      </c>
    </row>
    <row r="22" spans="5:13">
      <c r="E22" s="5" t="s">
        <v>17</v>
      </c>
      <c r="F22" s="6">
        <f t="shared" ref="F22:M22" si="3">STDEVP(F16:F20)</f>
        <v>0.0113178443177135</v>
      </c>
      <c r="G22" s="6">
        <f t="shared" si="3"/>
        <v>0.00799864988607452</v>
      </c>
      <c r="H22" s="6">
        <f t="shared" si="3"/>
        <v>0.0113178443177135</v>
      </c>
      <c r="I22" s="6">
        <f t="shared" si="3"/>
        <v>0.000101980390271844</v>
      </c>
      <c r="J22" s="6">
        <f t="shared" si="3"/>
        <v>0.0109853356798962</v>
      </c>
      <c r="K22" s="6">
        <f t="shared" si="3"/>
        <v>0.0114658798179643</v>
      </c>
      <c r="L22" s="6">
        <f t="shared" si="3"/>
        <v>0.0057513128935922</v>
      </c>
      <c r="M22" s="6">
        <f t="shared" si="3"/>
        <v>0.000614491659829486</v>
      </c>
    </row>
  </sheetData>
  <mergeCells count="3">
    <mergeCell ref="B3:D3"/>
    <mergeCell ref="C6:C10"/>
    <mergeCell ref="C12:C13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buy le</dc:creator>
  <cp:lastModifiedBy>y8549</cp:lastModifiedBy>
  <dcterms:created xsi:type="dcterms:W3CDTF">2015-06-05T18:19:00Z</dcterms:created>
  <dcterms:modified xsi:type="dcterms:W3CDTF">2025-11-23T10:34:14Z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2052-11.1.0.10009</vt:lpwstr>
  </property>
  <property fmtid="{D5CDD505-2E9C-101B-9397-08002B2CF9AE}" pid="3" name="KSOReadingLayout">
    <vt:bool>true</vt:bool>
  </property>
</Properties>
</file>