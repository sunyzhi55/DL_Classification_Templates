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<sst xmlns="http://schemas.openxmlformats.org/spreadsheetml/2006/main" count="72" uniqueCount="27">
  <si>
    <t>2025_11_23</t>
  </si>
  <si>
    <t>Oxford 102 Flowers</t>
  </si>
  <si>
    <t>环境：V100 8 * 32G</t>
  </si>
  <si>
    <t>Resnet34(不加载预训练权重)</t>
  </si>
  <si>
    <t>Fold</t>
  </si>
  <si>
    <t>Best Epoch</t>
  </si>
  <si>
    <t>Accuracy</t>
  </si>
  <si>
    <t>Precision (micro)</t>
  </si>
  <si>
    <t>Recall (micro)</t>
  </si>
  <si>
    <t>Specificity</t>
  </si>
  <si>
    <t>F1-score (micro)</t>
  </si>
  <si>
    <t>Cohen's Kappa</t>
  </si>
  <si>
    <t>Balanced Acc</t>
  </si>
  <si>
    <t>AUROC</t>
  </si>
  <si>
    <t>训练集 + 验证集合并成一个，进行5折交叉验证，使用每一折最好的模型进行测试</t>
  </si>
  <si>
    <t>训练总时间：16.0h 44.0m 30.326989889144897s</t>
  </si>
  <si>
    <t>Mean</t>
  </si>
  <si>
    <t>-</t>
  </si>
  <si>
    <t>Std</t>
  </si>
  <si>
    <t>使用每一折最好的模型进行测试</t>
  </si>
  <si>
    <t>2025_11_25 - 2025_12_03</t>
  </si>
  <si>
    <t>CIFAR10</t>
  </si>
  <si>
    <t>训练集 + 验证集合并成一个，进行5折交叉验证</t>
  </si>
  <si>
    <t>训练总时间：178.0h 24.0m 3.9902656078338623s</t>
  </si>
  <si>
    <t>2025_11_26 - 2025_12_03</t>
  </si>
  <si>
    <t>环境：3090Ti 2 * 24G</t>
  </si>
  <si>
    <t>训练总时间：156.0h 44.0m 20.54083776473999s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</si>
</sst>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9" fillId="25" borderId="2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wrapText="1"/>
    </xf>
    <xf numFmtId="0" fontId="0" fillId="2" borderId="0" xfId="0" applyFill="1"/>
    <xf numFmtId="0" fontId="1" fillId="3" borderId="0" xfId="31" applyFont="1" applyFill="1" applyAlignment="1"/>
    <xf numFmtId="0" fontId="0" fillId="0" borderId="0" xfId="0" applyAlignment="1">
      <alignment wrapText="1"/>
    </xf>
    <xf numFmtId="0" fontId="0" fillId="0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6EFCE"/>
      <color rgb="0028EE52"/>
      <color rgb="00ADF8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50"/>
  <sheetViews>
    <sheetView tabSelected="1" topLeftCell="A19" workbookViewId="0">
      <selection activeCell="C45" sqref="C45:C46"/>
    </sheetView>
  </sheetViews>
  <sheetFormatPr defaultColWidth="9" defaultRowHeight="14"/>
  <cols>
    <col min="2" max="2" width="6.58333333333333" customWidth="1"/>
    <col min="3" max="3" width="26.25" customWidth="1"/>
    <col min="4" max="8" width="12.6666666666667"/>
    <col min="9" max="9" width="11.5833333333333"/>
    <col min="10" max="11" width="12.6666666666667"/>
    <col min="12" max="12" width="14.25" customWidth="1"/>
    <col min="13" max="15" width="12.6666666666667"/>
    <col min="16" max="16" width="11.5833333333333"/>
  </cols>
  <sheetData>
    <row r="2" spans="3:3">
      <c r="C2" t="s">
        <v>0</v>
      </c>
    </row>
    <row r="3" spans="2:4">
      <c r="B3" s="1" t="s">
        <v>1</v>
      </c>
      <c r="C3" s="1"/>
      <c r="D3" s="1"/>
    </row>
    <row r="4" spans="3:4">
      <c r="C4" s="2" t="s">
        <v>2</v>
      </c>
      <c r="D4" s="2"/>
    </row>
    <row r="5" spans="3:13">
      <c r="C5" s="3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</row>
    <row r="6" spans="3:13">
      <c r="C6" s="4" t="s">
        <v>14</v>
      </c>
      <c r="D6">
        <v>1</v>
      </c>
      <c r="E6">
        <v>429</v>
      </c>
      <c r="F6">
        <v>0.9059</v>
      </c>
      <c r="G6">
        <v>0.908</v>
      </c>
      <c r="H6">
        <v>0.8953</v>
      </c>
      <c r="I6">
        <v>0.9991</v>
      </c>
      <c r="J6">
        <v>0.8936</v>
      </c>
      <c r="K6">
        <v>0.9045</v>
      </c>
      <c r="L6">
        <v>0.9472</v>
      </c>
      <c r="M6">
        <v>0.9967</v>
      </c>
    </row>
    <row r="7" spans="3:13">
      <c r="C7" s="4"/>
      <c r="D7">
        <v>2</v>
      </c>
      <c r="E7">
        <v>504</v>
      </c>
      <c r="F7">
        <v>0.9073</v>
      </c>
      <c r="G7">
        <v>0.9099</v>
      </c>
      <c r="H7">
        <v>0.9036</v>
      </c>
      <c r="I7">
        <v>0.9991</v>
      </c>
      <c r="J7">
        <v>0.8988</v>
      </c>
      <c r="K7">
        <v>0.9059</v>
      </c>
      <c r="L7">
        <v>0.9513</v>
      </c>
      <c r="M7">
        <v>0.9959</v>
      </c>
    </row>
    <row r="8" spans="3:13">
      <c r="C8" s="4"/>
      <c r="D8">
        <v>3</v>
      </c>
      <c r="E8">
        <v>1311</v>
      </c>
      <c r="F8">
        <v>0.9142</v>
      </c>
      <c r="G8">
        <v>0.9176</v>
      </c>
      <c r="H8">
        <v>0.9016</v>
      </c>
      <c r="I8">
        <v>0.9991</v>
      </c>
      <c r="J8">
        <v>0.9003</v>
      </c>
      <c r="K8">
        <v>0.913</v>
      </c>
      <c r="L8">
        <v>0.9504</v>
      </c>
      <c r="M8">
        <v>0.9952</v>
      </c>
    </row>
    <row r="9" spans="3:13">
      <c r="C9" s="4"/>
      <c r="D9">
        <v>4</v>
      </c>
      <c r="E9">
        <v>700</v>
      </c>
      <c r="F9">
        <v>0.9142</v>
      </c>
      <c r="G9">
        <v>0.918</v>
      </c>
      <c r="H9">
        <v>0.9104</v>
      </c>
      <c r="I9">
        <v>0.9991</v>
      </c>
      <c r="J9">
        <v>0.9078</v>
      </c>
      <c r="K9">
        <v>0.913</v>
      </c>
      <c r="L9">
        <v>0.9548</v>
      </c>
      <c r="M9">
        <v>0.9965</v>
      </c>
    </row>
    <row r="10" spans="3:13">
      <c r="C10" s="3"/>
      <c r="D10">
        <v>5</v>
      </c>
      <c r="E10">
        <v>828</v>
      </c>
      <c r="F10">
        <v>0.9114</v>
      </c>
      <c r="G10">
        <v>0.8992</v>
      </c>
      <c r="H10">
        <v>0.8988</v>
      </c>
      <c r="I10">
        <v>0.9991</v>
      </c>
      <c r="J10">
        <v>0.8868</v>
      </c>
      <c r="K10">
        <v>0.9101</v>
      </c>
      <c r="L10">
        <v>0.9489</v>
      </c>
      <c r="M10">
        <v>0.994</v>
      </c>
    </row>
    <row r="11" spans="3:13">
      <c r="C11" s="4" t="s">
        <v>15</v>
      </c>
      <c r="D11" s="5" t="s">
        <v>16</v>
      </c>
      <c r="E11" t="s">
        <v>17</v>
      </c>
      <c r="F11" s="6">
        <f t="shared" ref="F11:M11" si="0">AVERAGE(F6:F10)</f>
        <v>0.9106</v>
      </c>
      <c r="G11" s="6">
        <f t="shared" si="0"/>
        <v>0.91054</v>
      </c>
      <c r="H11" s="6">
        <f t="shared" si="0"/>
        <v>0.90194</v>
      </c>
      <c r="I11" s="6">
        <f t="shared" si="0"/>
        <v>0.9991</v>
      </c>
      <c r="J11" s="6">
        <f t="shared" si="0"/>
        <v>0.89746</v>
      </c>
      <c r="K11" s="6">
        <f t="shared" si="0"/>
        <v>0.9093</v>
      </c>
      <c r="L11" s="6">
        <f t="shared" si="0"/>
        <v>0.95052</v>
      </c>
      <c r="M11" s="6">
        <f t="shared" si="0"/>
        <v>0.99566</v>
      </c>
    </row>
    <row r="12" spans="3:13">
      <c r="C12" s="4"/>
      <c r="D12" s="5" t="s">
        <v>18</v>
      </c>
      <c r="E12" t="s">
        <v>17</v>
      </c>
      <c r="F12" s="6">
        <f t="shared" ref="F12:M12" si="1">STDEVP(F6:F10)</f>
        <v>0.00345079700938783</v>
      </c>
      <c r="G12" s="6">
        <f t="shared" si="1"/>
        <v>0.00694193056721255</v>
      </c>
      <c r="H12" s="6">
        <f t="shared" si="1"/>
        <v>0.0050673859138613</v>
      </c>
      <c r="I12" s="6">
        <f t="shared" si="1"/>
        <v>0</v>
      </c>
      <c r="J12" s="6">
        <f t="shared" si="1"/>
        <v>0.00700445572475122</v>
      </c>
      <c r="K12" s="6">
        <f t="shared" si="1"/>
        <v>0.00353892639087056</v>
      </c>
      <c r="L12" s="6">
        <f t="shared" si="1"/>
        <v>0.00255295906743527</v>
      </c>
      <c r="M12" s="6">
        <f t="shared" si="1"/>
        <v>0.000981019877474478</v>
      </c>
    </row>
    <row r="13" spans="3:3">
      <c r="C13" s="7"/>
    </row>
    <row r="15" spans="5:13">
      <c r="E15" t="s">
        <v>4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13</v>
      </c>
    </row>
    <row r="16" spans="5:13">
      <c r="E16">
        <v>1</v>
      </c>
      <c r="F16">
        <v>0.8716</v>
      </c>
      <c r="G16">
        <v>0.8943</v>
      </c>
      <c r="H16">
        <v>0.8716</v>
      </c>
      <c r="I16">
        <v>0.9987</v>
      </c>
      <c r="J16">
        <v>0.8714</v>
      </c>
      <c r="K16">
        <v>0.8703</v>
      </c>
      <c r="L16">
        <v>0.9351</v>
      </c>
      <c r="M16">
        <v>0.9949</v>
      </c>
    </row>
    <row r="17" spans="5:13">
      <c r="E17">
        <v>2</v>
      </c>
      <c r="F17">
        <v>0.8765</v>
      </c>
      <c r="G17">
        <v>0.9012</v>
      </c>
      <c r="H17">
        <v>0.8765</v>
      </c>
      <c r="I17">
        <v>0.9988</v>
      </c>
      <c r="J17">
        <v>0.8751</v>
      </c>
      <c r="K17">
        <v>0.8752</v>
      </c>
      <c r="L17">
        <v>0.9376</v>
      </c>
      <c r="M17">
        <v>0.9959</v>
      </c>
    </row>
    <row r="18" spans="5:13">
      <c r="E18">
        <v>3</v>
      </c>
      <c r="F18">
        <v>0.9039</v>
      </c>
      <c r="G18">
        <v>0.9185</v>
      </c>
      <c r="H18">
        <v>0.9039</v>
      </c>
      <c r="I18">
        <v>0.999</v>
      </c>
      <c r="J18">
        <v>0.9026</v>
      </c>
      <c r="K18">
        <v>0.903</v>
      </c>
      <c r="L18">
        <v>0.9515</v>
      </c>
      <c r="M18">
        <v>0.9945</v>
      </c>
    </row>
    <row r="19" spans="3:13">
      <c r="C19" s="8" t="s">
        <v>19</v>
      </c>
      <c r="E19">
        <v>4</v>
      </c>
      <c r="F19">
        <v>0.8902</v>
      </c>
      <c r="G19">
        <v>0.904</v>
      </c>
      <c r="H19">
        <v>0.8902</v>
      </c>
      <c r="I19">
        <v>0.9989</v>
      </c>
      <c r="J19">
        <v>0.8883</v>
      </c>
      <c r="K19">
        <v>0.8891</v>
      </c>
      <c r="L19">
        <v>0.9446</v>
      </c>
      <c r="M19">
        <v>0.9952</v>
      </c>
    </row>
    <row r="20" spans="5:13">
      <c r="E20">
        <v>5</v>
      </c>
      <c r="F20">
        <v>0.8882</v>
      </c>
      <c r="G20">
        <v>0.9012</v>
      </c>
      <c r="H20">
        <v>0.8882</v>
      </c>
      <c r="I20">
        <v>0.9989</v>
      </c>
      <c r="J20">
        <v>0.8857</v>
      </c>
      <c r="K20">
        <v>0.8871</v>
      </c>
      <c r="L20">
        <v>0.9436</v>
      </c>
      <c r="M20">
        <v>0.9941</v>
      </c>
    </row>
    <row r="21" spans="5:13">
      <c r="E21" s="5" t="s">
        <v>16</v>
      </c>
      <c r="F21" s="6">
        <f t="shared" ref="F21:M21" si="2">AVERAGE(F16:F20)</f>
        <v>0.88608</v>
      </c>
      <c r="G21" s="6">
        <f t="shared" si="2"/>
        <v>0.90384</v>
      </c>
      <c r="H21" s="6">
        <f t="shared" si="2"/>
        <v>0.88608</v>
      </c>
      <c r="I21" s="6">
        <f t="shared" si="2"/>
        <v>0.99886</v>
      </c>
      <c r="J21" s="6">
        <f t="shared" si="2"/>
        <v>0.88462</v>
      </c>
      <c r="K21" s="6">
        <f t="shared" si="2"/>
        <v>0.88494</v>
      </c>
      <c r="L21" s="6">
        <f t="shared" si="2"/>
        <v>0.94248</v>
      </c>
      <c r="M21" s="6">
        <f t="shared" si="2"/>
        <v>0.99492</v>
      </c>
    </row>
    <row r="22" spans="5:13">
      <c r="E22" s="5" t="s">
        <v>18</v>
      </c>
      <c r="F22" s="6">
        <f t="shared" ref="F22:M22" si="3">STDEVP(F16:F20)</f>
        <v>0.0113178443177135</v>
      </c>
      <c r="G22" s="6">
        <f t="shared" si="3"/>
        <v>0.00799864988607452</v>
      </c>
      <c r="H22" s="6">
        <f t="shared" si="3"/>
        <v>0.0113178443177135</v>
      </c>
      <c r="I22" s="6">
        <f t="shared" si="3"/>
        <v>0.000101980390271844</v>
      </c>
      <c r="J22" s="6">
        <f t="shared" si="3"/>
        <v>0.0109853356798962</v>
      </c>
      <c r="K22" s="6">
        <f t="shared" si="3"/>
        <v>0.0114658798179643</v>
      </c>
      <c r="L22" s="6">
        <f t="shared" si="3"/>
        <v>0.0057513128935922</v>
      </c>
      <c r="M22" s="6">
        <f t="shared" si="3"/>
        <v>0.000614491659829486</v>
      </c>
    </row>
    <row r="26" spans="3:3">
      <c r="C26" t="s">
        <v>20</v>
      </c>
    </row>
    <row r="27" spans="2:4">
      <c r="B27" s="1" t="s">
        <v>21</v>
      </c>
      <c r="C27" s="1"/>
      <c r="D27" s="1"/>
    </row>
    <row r="28" spans="3:4">
      <c r="C28" s="2" t="s">
        <v>2</v>
      </c>
      <c r="D28" s="2"/>
    </row>
    <row r="29" spans="3:13">
      <c r="C29" s="3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  <c r="K29" t="s">
        <v>11</v>
      </c>
      <c r="L29" t="s">
        <v>12</v>
      </c>
      <c r="M29" t="s">
        <v>13</v>
      </c>
    </row>
    <row r="30" spans="3:13">
      <c r="C30" s="3"/>
      <c r="D30">
        <v>1</v>
      </c>
      <c r="E30">
        <v>1870</v>
      </c>
      <c r="F30">
        <v>0.9592</v>
      </c>
      <c r="G30">
        <v>0.9594</v>
      </c>
      <c r="H30">
        <v>0.9589</v>
      </c>
      <c r="I30">
        <v>0.9955</v>
      </c>
      <c r="J30">
        <v>0.959</v>
      </c>
      <c r="K30">
        <v>0.9546</v>
      </c>
      <c r="L30">
        <v>0.9772</v>
      </c>
      <c r="M30">
        <v>0.9942</v>
      </c>
    </row>
    <row r="31" spans="3:13">
      <c r="C31" s="4" t="s">
        <v>22</v>
      </c>
      <c r="D31">
        <v>2</v>
      </c>
      <c r="E31">
        <v>610</v>
      </c>
      <c r="F31">
        <v>0.9454</v>
      </c>
      <c r="G31">
        <v>0.9461</v>
      </c>
      <c r="H31">
        <v>0.9454</v>
      </c>
      <c r="I31">
        <v>0.9939</v>
      </c>
      <c r="J31">
        <v>0.9455</v>
      </c>
      <c r="K31">
        <v>0.9394</v>
      </c>
      <c r="L31">
        <v>0.9697</v>
      </c>
      <c r="M31">
        <v>0.9929</v>
      </c>
    </row>
    <row r="32" spans="3:13">
      <c r="C32" s="4"/>
      <c r="D32">
        <v>3</v>
      </c>
      <c r="E32">
        <v>1956</v>
      </c>
      <c r="F32">
        <v>0.9592</v>
      </c>
      <c r="G32">
        <v>0.9599</v>
      </c>
      <c r="H32">
        <v>0.9595</v>
      </c>
      <c r="I32">
        <v>0.9955</v>
      </c>
      <c r="J32">
        <v>0.9596</v>
      </c>
      <c r="K32">
        <v>0.9546</v>
      </c>
      <c r="L32">
        <v>0.9775</v>
      </c>
      <c r="M32">
        <v>0.9954</v>
      </c>
    </row>
    <row r="33" spans="3:13">
      <c r="C33" s="3"/>
      <c r="D33">
        <v>4</v>
      </c>
      <c r="E33">
        <v>933</v>
      </c>
      <c r="F33">
        <v>0.9486</v>
      </c>
      <c r="G33">
        <v>0.9492</v>
      </c>
      <c r="H33">
        <v>0.9487</v>
      </c>
      <c r="I33">
        <v>0.9943</v>
      </c>
      <c r="J33">
        <v>0.9488</v>
      </c>
      <c r="K33">
        <v>0.9429</v>
      </c>
      <c r="L33">
        <v>0.9715</v>
      </c>
      <c r="M33">
        <v>0.9946</v>
      </c>
    </row>
    <row r="34" spans="3:13">
      <c r="C34" s="3"/>
      <c r="D34">
        <v>5</v>
      </c>
      <c r="E34">
        <v>846</v>
      </c>
      <c r="F34">
        <v>0.9481</v>
      </c>
      <c r="G34">
        <v>0.9486</v>
      </c>
      <c r="H34">
        <v>0.9481</v>
      </c>
      <c r="I34">
        <v>0.9942</v>
      </c>
      <c r="J34">
        <v>0.9482</v>
      </c>
      <c r="K34">
        <v>0.9423</v>
      </c>
      <c r="L34">
        <v>0.9712</v>
      </c>
      <c r="M34">
        <v>0.9949</v>
      </c>
    </row>
    <row r="35" spans="3:13">
      <c r="C35" s="4" t="s">
        <v>23</v>
      </c>
      <c r="D35" s="5" t="s">
        <v>16</v>
      </c>
      <c r="E35" t="s">
        <v>17</v>
      </c>
      <c r="F35" s="6">
        <f t="shared" ref="F35:M35" si="4">AVERAGE(F30:F34)</f>
        <v>0.9521</v>
      </c>
      <c r="G35" s="6">
        <f t="shared" si="4"/>
        <v>0.95264</v>
      </c>
      <c r="H35" s="6">
        <f t="shared" si="4"/>
        <v>0.95212</v>
      </c>
      <c r="I35" s="6">
        <f t="shared" si="4"/>
        <v>0.99468</v>
      </c>
      <c r="J35" s="6">
        <f t="shared" si="4"/>
        <v>0.95222</v>
      </c>
      <c r="K35" s="6">
        <f t="shared" si="4"/>
        <v>0.94676</v>
      </c>
      <c r="L35" s="6">
        <f t="shared" si="4"/>
        <v>0.97342</v>
      </c>
      <c r="M35" s="6">
        <f t="shared" si="4"/>
        <v>0.9944</v>
      </c>
    </row>
    <row r="36" spans="3:13">
      <c r="C36" s="4"/>
      <c r="D36" s="5" t="s">
        <v>18</v>
      </c>
      <c r="E36" t="s">
        <v>17</v>
      </c>
      <c r="F36" s="6">
        <f t="shared" ref="F36:M36" si="5">STDEVP(F30:F34)</f>
        <v>0.0058984743790238</v>
      </c>
      <c r="G36" s="6">
        <f t="shared" si="5"/>
        <v>0.00581948451325371</v>
      </c>
      <c r="H36" s="6">
        <f t="shared" si="5"/>
        <v>0.00588978777206784</v>
      </c>
      <c r="I36" s="6">
        <f t="shared" si="5"/>
        <v>0.000682348884369311</v>
      </c>
      <c r="J36" s="6">
        <f t="shared" si="5"/>
        <v>0.00588978777206784</v>
      </c>
      <c r="K36" s="6">
        <f t="shared" si="5"/>
        <v>0.00650986943033422</v>
      </c>
      <c r="L36" s="6">
        <f t="shared" si="5"/>
        <v>0.00326765971300563</v>
      </c>
      <c r="M36" s="6">
        <f t="shared" si="5"/>
        <v>0.000846167832052238</v>
      </c>
    </row>
    <row r="37" spans="3:3">
      <c r="C37" s="9"/>
    </row>
    <row r="38" spans="3:3">
      <c r="C38" s="10"/>
    </row>
    <row r="39" spans="3:3">
      <c r="C39" s="10"/>
    </row>
    <row r="40" spans="3:3">
      <c r="C40" t="s">
        <v>24</v>
      </c>
    </row>
    <row r="41" spans="2:4">
      <c r="B41" s="1" t="s">
        <v>21</v>
      </c>
      <c r="C41" s="1"/>
      <c r="D41" s="1"/>
    </row>
    <row r="42" spans="3:4">
      <c r="C42" s="2" t="s">
        <v>25</v>
      </c>
      <c r="D42" s="2"/>
    </row>
    <row r="43" spans="3:13">
      <c r="C43" s="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</row>
    <row r="44" spans="3:13">
      <c r="C44" s="3"/>
      <c r="D44">
        <v>1</v>
      </c>
      <c r="E44">
        <v>850</v>
      </c>
      <c r="F44">
        <v>0.9461</v>
      </c>
      <c r="G44">
        <v>0.9464</v>
      </c>
      <c r="H44">
        <v>0.9456</v>
      </c>
      <c r="I44">
        <v>0.994</v>
      </c>
      <c r="J44">
        <v>0.9459</v>
      </c>
      <c r="K44">
        <v>0.9401</v>
      </c>
      <c r="L44">
        <v>0.9698</v>
      </c>
      <c r="M44">
        <v>0.9938</v>
      </c>
    </row>
    <row r="45" spans="3:13">
      <c r="C45" s="4" t="s">
        <v>22</v>
      </c>
      <c r="D45">
        <v>2</v>
      </c>
      <c r="E45">
        <v>503</v>
      </c>
      <c r="F45">
        <v>0.9461</v>
      </c>
      <c r="G45">
        <v>0.9467</v>
      </c>
      <c r="H45">
        <v>0.946</v>
      </c>
      <c r="I45">
        <v>0.994</v>
      </c>
      <c r="J45">
        <v>0.9462</v>
      </c>
      <c r="K45">
        <v>0.9401</v>
      </c>
      <c r="L45">
        <v>0.97</v>
      </c>
      <c r="M45">
        <v>0.9942</v>
      </c>
    </row>
    <row r="46" spans="3:13">
      <c r="C46" s="4"/>
      <c r="D46">
        <v>3</v>
      </c>
      <c r="E46">
        <v>1741</v>
      </c>
      <c r="F46">
        <v>0.9579</v>
      </c>
      <c r="G46">
        <v>0.9587</v>
      </c>
      <c r="H46">
        <v>0.9584</v>
      </c>
      <c r="I46">
        <v>0.9953</v>
      </c>
      <c r="J46">
        <v>0.9585</v>
      </c>
      <c r="K46">
        <v>0.9532</v>
      </c>
      <c r="L46">
        <v>0.9768</v>
      </c>
      <c r="M46">
        <v>0.995</v>
      </c>
    </row>
    <row r="47" spans="3:13">
      <c r="C47" s="3"/>
      <c r="D47">
        <v>4</v>
      </c>
      <c r="E47">
        <v>1816</v>
      </c>
      <c r="F47">
        <v>0.9607</v>
      </c>
      <c r="G47">
        <v>0.9614</v>
      </c>
      <c r="H47">
        <v>0.9607</v>
      </c>
      <c r="I47">
        <v>0.9956</v>
      </c>
      <c r="J47">
        <v>0.961</v>
      </c>
      <c r="K47">
        <v>0.9563</v>
      </c>
      <c r="L47">
        <v>0.9782</v>
      </c>
      <c r="M47">
        <v>0.9956</v>
      </c>
    </row>
    <row r="48" spans="3:13">
      <c r="C48" s="3"/>
      <c r="D48">
        <v>5</v>
      </c>
      <c r="E48">
        <v>561</v>
      </c>
      <c r="F48">
        <v>0.9438</v>
      </c>
      <c r="G48">
        <v>0.9443</v>
      </c>
      <c r="H48">
        <v>0.9436</v>
      </c>
      <c r="I48">
        <v>0.9938</v>
      </c>
      <c r="J48">
        <v>0.9438</v>
      </c>
      <c r="K48">
        <v>0.9376</v>
      </c>
      <c r="L48">
        <v>0.9687</v>
      </c>
      <c r="M48">
        <v>0.995</v>
      </c>
    </row>
    <row r="49" spans="3:13">
      <c r="C49" s="10" t="s">
        <v>26</v>
      </c>
      <c r="D49" s="5" t="s">
        <v>16</v>
      </c>
      <c r="E49" t="s">
        <v>17</v>
      </c>
      <c r="F49" s="6">
        <f t="shared" ref="F49:M49" si="6">AVERAGE(F44:F48)</f>
        <v>0.95092</v>
      </c>
      <c r="G49" s="6">
        <f t="shared" si="6"/>
        <v>0.9515</v>
      </c>
      <c r="H49" s="6">
        <f t="shared" si="6"/>
        <v>0.95086</v>
      </c>
      <c r="I49" s="6">
        <f t="shared" si="6"/>
        <v>0.99454</v>
      </c>
      <c r="J49" s="6">
        <f t="shared" si="6"/>
        <v>0.95108</v>
      </c>
      <c r="K49" s="6">
        <f t="shared" si="6"/>
        <v>0.94546</v>
      </c>
      <c r="L49" s="6">
        <f t="shared" si="6"/>
        <v>0.9727</v>
      </c>
      <c r="M49" s="6">
        <f t="shared" si="6"/>
        <v>0.99472</v>
      </c>
    </row>
    <row r="50" spans="3:13">
      <c r="C50" s="10"/>
      <c r="D50" s="5" t="s">
        <v>18</v>
      </c>
      <c r="E50" t="s">
        <v>17</v>
      </c>
      <c r="F50" s="6">
        <f t="shared" ref="F50:M50" si="7">STDEVP(F44:F48)</f>
        <v>0.00695022301800452</v>
      </c>
      <c r="G50" s="6">
        <f t="shared" si="7"/>
        <v>0.00708152525943388</v>
      </c>
      <c r="H50" s="6">
        <f t="shared" si="7"/>
        <v>0.00717874640867054</v>
      </c>
      <c r="I50" s="6">
        <f t="shared" si="7"/>
        <v>0.000752595508889073</v>
      </c>
      <c r="J50" s="6">
        <f t="shared" si="7"/>
        <v>0.00717088557989876</v>
      </c>
      <c r="K50" s="6">
        <f t="shared" si="7"/>
        <v>0.00770262292988565</v>
      </c>
      <c r="L50" s="6">
        <f t="shared" si="7"/>
        <v>0.00396887893491348</v>
      </c>
      <c r="M50" s="6">
        <f t="shared" si="7"/>
        <v>0.00064000000000001</v>
      </c>
    </row>
  </sheetData>
  <mergeCells count="12">
    <mergeCell ref="B3:D3"/>
    <mergeCell ref="C4:D4"/>
    <mergeCell ref="B27:D27"/>
    <mergeCell ref="C28:D28"/>
    <mergeCell ref="B41:D41"/>
    <mergeCell ref="C42:D42"/>
    <mergeCell ref="C6:C9"/>
    <mergeCell ref="C11:C12"/>
    <mergeCell ref="C31:C32"/>
    <mergeCell ref="C35:C36"/>
    <mergeCell ref="C45:C46"/>
    <mergeCell ref="C49:C5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 le</dc:creator>
  <cp:lastModifiedBy>y8549</cp:lastModifiedBy>
  <dcterms:created xsi:type="dcterms:W3CDTF">2015-06-05T18:19:00Z</dcterms:created>
  <dcterms:modified xsi:type="dcterms:W3CDTF">2025-12-03T03:59:01Z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KSOReadingLayout">
    <vt:bool>true</vt:bool>
  </property>
</Properties>
</file>